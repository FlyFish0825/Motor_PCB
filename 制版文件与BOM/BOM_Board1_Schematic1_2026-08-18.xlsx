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file\BaiduSyncdisk\Project\PCB\Motor\制版文件与BOM\"/>
    </mc:Choice>
  </mc:AlternateContent>
  <bookViews>
    <workbookView windowWidth="27948" windowHeight="12420"/>
  </bookViews>
  <sheets>
    <sheet name="bom模板" sheetId="1" r:id="rId1"/>
    <sheet name="Field汇总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<sst xmlns="http://schemas.openxmlformats.org/spreadsheetml/2006/main" count="425" uniqueCount="162">
  <si>
    <t/>
  </si>
  <si>
    <t xml:space="preserve">Bill of Materials </t>
  </si>
  <si>
    <t>BOM_Board1_Schematic1_2026-08-18</t>
  </si>
  <si>
    <t>Project Title：</t>
  </si>
  <si>
    <t>Motor_Driver</t>
  </si>
  <si>
    <t>Variant:</t>
  </si>
  <si>
    <t xml:space="preserve"> </t>
  </si>
  <si>
    <t>Report Time：</t>
  </si>
  <si>
    <t>2026年8月18日 21:40:38</t>
  </si>
  <si>
    <t>No.</t>
  </si>
  <si>
    <t>Quantity</t>
  </si>
  <si>
    <t>Comment</t>
  </si>
  <si>
    <t>Designator</t>
  </si>
  <si>
    <t>Footprint</t>
  </si>
  <si>
    <t>Value</t>
  </si>
  <si>
    <t>Manufacturer Part</t>
  </si>
  <si>
    <t>Manufacturer</t>
  </si>
  <si>
    <t>Supplier Part</t>
  </si>
  <si>
    <t>Supplier</t>
  </si>
  <si>
    <t>LCSC Price</t>
  </si>
  <si>
    <t>Total</t>
  </si>
  <si>
    <t>耐压</t>
  </si>
  <si>
    <t>精度</t>
  </si>
  <si>
    <t>10uf</t>
  </si>
  <si>
    <t>C42, C44, C46</t>
  </si>
  <si>
    <t>C0603</t>
  </si>
  <si>
    <t>50V</t>
  </si>
  <si>
    <t>10%</t>
  </si>
  <si>
    <t>4.7uf</t>
  </si>
  <si>
    <t>C43, C45, C47</t>
  </si>
  <si>
    <t>10nF</t>
  </si>
  <si>
    <t>C48, C75, C77</t>
  </si>
  <si>
    <t>1uF</t>
  </si>
  <si>
    <t>C49, C59, C71, C76, C78</t>
  </si>
  <si>
    <t>100nF</t>
  </si>
  <si>
    <t>C50, C53, C58, C64, C70, C79</t>
  </si>
  <si>
    <t>10uF</t>
  </si>
  <si>
    <t>C54, C66</t>
  </si>
  <si>
    <t>470nF</t>
  </si>
  <si>
    <t>C55, C56, C57</t>
  </si>
  <si>
    <t>X7R</t>
  </si>
  <si>
    <t>C60, C61, C62</t>
  </si>
  <si>
    <t>68nF</t>
  </si>
  <si>
    <t>4.7uF</t>
  </si>
  <si>
    <t>C63, C72</t>
  </si>
  <si>
    <t>0.1uF</t>
  </si>
  <si>
    <t>C65</t>
  </si>
  <si>
    <t>10pF</t>
  </si>
  <si>
    <t>C82, C83</t>
  </si>
  <si>
    <t>无要求</t>
  </si>
  <si>
    <t>PESD2CANFD24V-TR</t>
  </si>
  <si>
    <t>D3</t>
  </si>
  <si>
    <t>SOT-23-3_L2.9-W1.3-P1.90-LS2.4-BR</t>
  </si>
  <si>
    <t>Nexperia(安世)</t>
  </si>
  <si>
    <t>C552486</t>
  </si>
  <si>
    <t>LCSC</t>
  </si>
  <si>
    <t>SS310</t>
  </si>
  <si>
    <t>D5</t>
  </si>
  <si>
    <t>DO-214AC_L4.3-W2.4-LS4.7-RD</t>
  </si>
  <si>
    <t>C9900021858</t>
  </si>
  <si>
    <t>BLM18PG121SN1D</t>
  </si>
  <si>
    <t>L4</t>
  </si>
  <si>
    <t>L0603</t>
  </si>
  <si>
    <t>muRata(村田)</t>
  </si>
  <si>
    <t>C14709</t>
  </si>
  <si>
    <t>33uH</t>
  </si>
  <si>
    <t>L5</t>
  </si>
  <si>
    <t>IND-SMD_L4.0-W4.0_FNR40XXS</t>
  </si>
  <si>
    <t>FNR4030S330MT</t>
  </si>
  <si>
    <t>cjiang(长江微电)</t>
  </si>
  <si>
    <t>C167885</t>
  </si>
  <si>
    <t>LED</t>
  </si>
  <si>
    <t>LED1</t>
  </si>
  <si>
    <t>LED0603-FD</t>
  </si>
  <si>
    <t>Guiguang light(桂光光电)</t>
  </si>
  <si>
    <t>C51933292</t>
  </si>
  <si>
    <t>XRS60V06F</t>
  </si>
  <si>
    <t>Q1, Q2, Q3</t>
  </si>
  <si>
    <t>PDFN-8_L5.8-W4.9-P1.27-LS6.1-BL-1</t>
  </si>
  <si>
    <t>XNRUSEMI(新锐)</t>
  </si>
  <si>
    <t>C42457040</t>
  </si>
  <si>
    <t>1kΩ</t>
  </si>
  <si>
    <t>R14</t>
  </si>
  <si>
    <t>R0603</t>
  </si>
  <si>
    <t>1%</t>
  </si>
  <si>
    <t>5mΩ</t>
  </si>
  <si>
    <t>R21, R22, R23</t>
  </si>
  <si>
    <t>R2512</t>
  </si>
  <si>
    <t>JER2512F3R005</t>
  </si>
  <si>
    <t>JIERR(捷而瑞)</t>
  </si>
  <si>
    <t>C46634460</t>
  </si>
  <si>
    <t>采样电阻</t>
  </si>
  <si>
    <t>10kΩ</t>
  </si>
  <si>
    <t>R25, R26</t>
  </si>
  <si>
    <t>DNP</t>
  </si>
  <si>
    <t>R27</t>
  </si>
  <si>
    <t>120</t>
  </si>
  <si>
    <t>100K</t>
  </si>
  <si>
    <t>R28, R30, R32, R34, R36, R39</t>
  </si>
  <si>
    <t>5.1K</t>
  </si>
  <si>
    <t>R29, R31, R33</t>
  </si>
  <si>
    <t>4.7K</t>
  </si>
  <si>
    <t>R35</t>
  </si>
  <si>
    <t>68K</t>
  </si>
  <si>
    <t>R37</t>
  </si>
  <si>
    <t>10K</t>
  </si>
  <si>
    <t>R38</t>
  </si>
  <si>
    <t>10</t>
  </si>
  <si>
    <t>R40, R41, R42, R43, R44, R45</t>
  </si>
  <si>
    <t>5K</t>
  </si>
  <si>
    <t>R46, R49, R51, R54, R56, R59</t>
  </si>
  <si>
    <t>0.1%</t>
  </si>
  <si>
    <t>240K</t>
  </si>
  <si>
    <t>R47, R48, R52, R53, R57, R58</t>
  </si>
  <si>
    <t>120K</t>
  </si>
  <si>
    <t>R50, R55, R60</t>
  </si>
  <si>
    <t>STM32G431CBU6</t>
  </si>
  <si>
    <t>U9</t>
  </si>
  <si>
    <t>VQFN-48_L7.0-W7.0-P0.50-BL-EP5.5</t>
  </si>
  <si>
    <t>ST(意法半导体)</t>
  </si>
  <si>
    <t>C529356</t>
  </si>
  <si>
    <t>DRV8300DRGER-MS</t>
  </si>
  <si>
    <t>U10</t>
  </si>
  <si>
    <t>HVQFN-24_L4.0-W4.0-P0.50-BL-EP2.6</t>
  </si>
  <si>
    <t>MSKSEMI(美森科)</t>
  </si>
  <si>
    <t>C54781073</t>
  </si>
  <si>
    <t>TCAN3414DDFR</t>
  </si>
  <si>
    <t>U11</t>
  </si>
  <si>
    <t>TSOT-23-8_L2.9-W1.6-P0.65-LS2.8-BR</t>
  </si>
  <si>
    <t>TI(德州仪器)</t>
  </si>
  <si>
    <t>C24836183</t>
  </si>
  <si>
    <t>LMR16006XDDCR</t>
  </si>
  <si>
    <t>U12</t>
  </si>
  <si>
    <t>SOT-23-6_L2.9-W1.6-P0.95-LS2.8-BR</t>
  </si>
  <si>
    <t>C87080</t>
  </si>
  <si>
    <t>NCP718AMT330TBG</t>
  </si>
  <si>
    <t>U14</t>
  </si>
  <si>
    <t>WDFN-6_L2.0-W2.0-P0.65-BL-EP</t>
  </si>
  <si>
    <t>onsemi(安森美)</t>
  </si>
  <si>
    <t>C603783</t>
  </si>
  <si>
    <t>16MHz</t>
  </si>
  <si>
    <t>X1</t>
  </si>
  <si>
    <t>CRYSTAL-SMD_4P-L2.0-W1.6-BL_XL7EL89COI-111YLC-16M</t>
  </si>
  <si>
    <t>XL7EL89COI-111YLC-16M</t>
  </si>
  <si>
    <t>YXC(扬兴晶振)</t>
  </si>
  <si>
    <t>C2965579</t>
  </si>
  <si>
    <t>Project Title</t>
  </si>
  <si>
    <t>Borard Title</t>
  </si>
  <si>
    <t>Board1</t>
  </si>
  <si>
    <t>Schematic Title</t>
  </si>
  <si>
    <t>Schematic1</t>
  </si>
  <si>
    <t>PCB Title</t>
  </si>
  <si>
    <t>Variant Name</t>
  </si>
  <si>
    <t>Total Quantity</t>
  </si>
  <si>
    <t>Report Time</t>
  </si>
  <si>
    <t>21:40:38</t>
  </si>
  <si>
    <t>Report Date</t>
  </si>
  <si>
    <t>2026年8月18日</t>
  </si>
  <si>
    <t>Report Date&amp;Time</t>
  </si>
  <si>
    <t>File Name</t>
  </si>
  <si>
    <t>Filter Option</t>
  </si>
  <si>
    <t xml:space="preserve">Add into BOM:no;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</si>
</sst>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\¥\-#,##0.00"/>
  </numFmts>
  <fonts count="23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Border="1"/>
    <xf numFmtId="0" fontId="0" fillId="0" borderId="0" xfId="0" applyBorder="1"/>
    <xf numFmtId="0" fontId="2" fillId="0" borderId="0" xfId="0" applyFont="1"/>
    <xf numFmtId="0" fontId="0" fillId="0" borderId="0" xfId="0" applyFill="1"/>
    <xf numFmtId="0" fontId="1" fillId="2" borderId="1" xfId="0" applyFont="1" applyFill="1" applyBorder="1"/>
    <xf numFmtId="0" fontId="1" fillId="0" borderId="0" xfId="0" applyFont="1" applyFill="1" applyBorder="1"/>
    <xf numFmtId="0" fontId="1" fillId="0" borderId="1" xfId="0" applyFont="1" applyBorder="1" applyAlignment="1">
      <alignment horizontal="left" vertical="center"/>
    </xf>
    <xf numFmtId="0" fontId="1" fillId="3" borderId="1" xfId="0" applyFont="1" applyFill="1" applyBorder="1"/>
    <xf numFmtId="176" fontId="1" fillId="3" borderId="1" xfId="0" applyNumberFormat="1" applyFont="1" applyFill="1" applyBorder="1"/>
    <xf numFmtId="49" fontId="1" fillId="3" borderId="1" xfId="0" applyNumberFormat="1" applyFont="1" applyFill="1" applyBorder="1"/>
    <xf numFmtId="0" fontId="0" fillId="0" borderId="0" xfId="0" applyFill="1"/>
    <xf numFmtId="176" fontId="1" fillId="3" borderId="1" xfId="0" applyNumberFormat="1" applyFont="1" applyFill="1" applyBorder="1" applyAlignment="1"/>
    <xf numFmtId="49" fontId="1" fillId="3" borderId="1" xfId="0" applyNumberFormat="1" applyFont="1" applyFill="1" applyBorder="1" applyAlignment="1"/>
    <xf numFmtId="176" fontId="1" fillId="0" borderId="1" xfId="0" applyNumberFormat="1" applyFont="1" applyBorder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197826</xdr:colOff>
      <xdr:row>0</xdr:row>
      <xdr:rowOff>139213</xdr:rowOff>
    </xdr:from>
    <xdr:to>
      <xdr:col>3</xdr:col>
      <xdr:colOff>1045845</xdr:colOff>
      <xdr:row>4</xdr:row>
      <xdr:rowOff>105091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97485" y="139065"/>
          <a:ext cx="4371975" cy="6896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4"/>
  <sheetViews>
    <sheetView tabSelected="1" zoomScale="70" zoomScaleNormal="70" workbookViewId="0">
      <selection activeCell="O33" sqref="O33"/>
    </sheetView>
  </sheetViews>
  <sheetFormatPr defaultColWidth="9" defaultRowHeight="14.25" customHeight="1"/>
  <cols>
    <col min="1" max="1" width="16.25" customWidth="1"/>
    <col min="2" max="2" width="17.1296296296296" customWidth="1"/>
    <col min="3" max="3" width="18" customWidth="1"/>
    <col min="4" max="4" width="59.9074074074074" customWidth="1"/>
    <col min="5" max="5" width="13.1296296296296" customWidth="1"/>
    <col min="6" max="6" width="20.4722222222222" customWidth="1"/>
    <col min="7" max="7" width="27.2407407407407" customWidth="1"/>
    <col min="8" max="8" width="29.2685185185185" customWidth="1"/>
    <col min="9" max="9" width="13.3796296296296" customWidth="1"/>
    <col min="10" max="10" width="14.3796296296296" customWidth="1"/>
    <col min="11" max="11" width="10.25" customWidth="1"/>
  </cols>
  <sheetData>
    <row r="1" customHeight="1" spans="1:16">
      <c r="A1" s="2" t="s">
        <v>0</v>
      </c>
      <c r="B1" s="2"/>
      <c r="C1" s="2"/>
      <c r="D1" s="2"/>
      <c r="E1" s="3" t="s">
        <v>1</v>
      </c>
      <c r="F1" s="3" t="s">
        <v>2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s="4" t="s">
        <v>0</v>
      </c>
      <c r="M1" s="5"/>
    </row>
    <row r="2" customHeight="1" spans="1:16">
      <c r="A2" s="2"/>
      <c r="B2" s="2"/>
      <c r="C2" s="2"/>
      <c r="D2" s="2"/>
      <c r="E2" s="3"/>
      <c r="F2" s="3"/>
      <c r="G2" t="s">
        <v>0</v>
      </c>
      <c r="H2" t="s">
        <v>0</v>
      </c>
      <c r="I2" t="s">
        <v>0</v>
      </c>
      <c r="J2" t="s">
        <v>0</v>
      </c>
      <c r="K2" t="s">
        <v>0</v>
      </c>
      <c r="L2" s="4" t="s">
        <v>0</v>
      </c>
      <c r="M2" s="5"/>
    </row>
    <row r="3" customHeight="1" spans="1:16">
      <c r="A3" s="2"/>
      <c r="B3" s="2"/>
      <c r="C3" s="2"/>
      <c r="D3" s="2"/>
      <c r="E3" s="6" t="s">
        <v>3</v>
      </c>
      <c r="F3" t="s">
        <v>4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s="4" t="s">
        <v>0</v>
      </c>
      <c r="M3" s="5"/>
    </row>
    <row r="4" customHeight="1" spans="1:16">
      <c r="A4" s="2"/>
      <c r="B4" s="2"/>
      <c r="C4" s="2"/>
      <c r="D4" s="2"/>
      <c r="E4" s="6" t="s">
        <v>5</v>
      </c>
      <c r="F4" t="s">
        <v>6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s="4" t="s">
        <v>0</v>
      </c>
      <c r="M4" s="5"/>
      <c r="N4" s="7"/>
      <c r="O4" s="7"/>
      <c r="P4" s="7"/>
    </row>
    <row r="5" customHeight="1" spans="1:16">
      <c r="A5" s="2"/>
      <c r="B5" s="2"/>
      <c r="C5" s="2"/>
      <c r="D5" s="2"/>
      <c r="E5" s="6" t="s">
        <v>7</v>
      </c>
      <c r="F5" t="s">
        <v>8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s="4" t="s">
        <v>0</v>
      </c>
      <c r="M5" s="5"/>
      <c r="N5" s="7"/>
      <c r="O5" s="7"/>
      <c r="P5" s="7"/>
    </row>
    <row r="6" customHeight="1" spans="1:16">
      <c r="A6" s="1" t="s">
        <v>9</v>
      </c>
      <c r="B6" s="8" t="s">
        <v>10</v>
      </c>
      <c r="C6" s="8" t="s">
        <v>11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8" t="s">
        <v>17</v>
      </c>
      <c r="J6" s="8" t="s">
        <v>18</v>
      </c>
      <c r="K6" s="8" t="s">
        <v>19</v>
      </c>
      <c r="L6" s="8" t="s">
        <v>20</v>
      </c>
      <c r="M6" s="8" t="s">
        <v>21</v>
      </c>
      <c r="N6" s="8" t="s">
        <v>22</v>
      </c>
      <c r="O6" s="9"/>
      <c r="P6" s="9"/>
    </row>
    <row r="7" customHeight="1" spans="1:16">
      <c r="A7" s="10"/>
      <c r="B7" s="11"/>
      <c r="C7" s="11"/>
      <c r="D7" s="11"/>
      <c r="E7" s="11"/>
      <c r="F7" s="11"/>
      <c r="G7" s="11"/>
      <c r="H7" s="11"/>
      <c r="I7" s="11"/>
      <c r="J7" s="11"/>
      <c r="K7" s="11"/>
      <c r="L7" s="12"/>
      <c r="M7" s="12"/>
      <c r="N7" s="12"/>
      <c r="O7" s="7"/>
      <c r="P7" s="7"/>
    </row>
    <row r="8" customHeight="1" spans="1:16">
      <c r="A8" s="10">
        <f t="shared" ref="A7:A44" si="0">ROW()-6</f>
        <v>2</v>
      </c>
      <c r="B8" s="11">
        <v>3</v>
      </c>
      <c r="C8" s="11" t="s">
        <v>23</v>
      </c>
      <c r="D8" s="11" t="s">
        <v>24</v>
      </c>
      <c r="E8" s="11" t="s">
        <v>25</v>
      </c>
      <c r="F8" s="11" t="s">
        <v>23</v>
      </c>
      <c r="G8" s="11" t="s">
        <v>0</v>
      </c>
      <c r="H8" s="11" t="s">
        <v>0</v>
      </c>
      <c r="I8" s="11" t="s">
        <v>0</v>
      </c>
      <c r="J8" s="11" t="s">
        <v>0</v>
      </c>
      <c r="K8" s="11" t="s">
        <v>0</v>
      </c>
      <c r="L8" s="12" t="e">
        <f t="shared" ref="L7:L43" si="1">B8*K8</f>
        <v>#VALUE!</v>
      </c>
      <c r="M8" s="12" t="s">
        <v>26</v>
      </c>
      <c r="N8" s="13" t="s">
        <v>27</v>
      </c>
      <c r="O8" s="7"/>
      <c r="P8" s="7"/>
    </row>
    <row r="9" customHeight="1" spans="1:16">
      <c r="A9" s="10">
        <f t="shared" si="0"/>
        <v>3</v>
      </c>
      <c r="B9" s="11">
        <v>3</v>
      </c>
      <c r="C9" s="11" t="s">
        <v>28</v>
      </c>
      <c r="D9" s="11" t="s">
        <v>29</v>
      </c>
      <c r="E9" s="11" t="s">
        <v>25</v>
      </c>
      <c r="F9" s="11" t="s">
        <v>28</v>
      </c>
      <c r="G9" s="11" t="s">
        <v>0</v>
      </c>
      <c r="H9" s="11" t="s">
        <v>0</v>
      </c>
      <c r="I9" s="11" t="s">
        <v>0</v>
      </c>
      <c r="J9" s="11" t="s">
        <v>0</v>
      </c>
      <c r="K9" s="11" t="s">
        <v>0</v>
      </c>
      <c r="L9" s="12" t="e">
        <f t="shared" si="1"/>
        <v>#VALUE!</v>
      </c>
      <c r="M9" s="12" t="s">
        <v>26</v>
      </c>
      <c r="N9" s="13" t="s">
        <v>27</v>
      </c>
      <c r="O9" s="7"/>
      <c r="P9" s="7"/>
    </row>
    <row r="10" customHeight="1" spans="1:16">
      <c r="A10" s="10">
        <f t="shared" si="0"/>
        <v>4</v>
      </c>
      <c r="B10" s="11">
        <v>3</v>
      </c>
      <c r="C10" s="11" t="s">
        <v>30</v>
      </c>
      <c r="D10" s="11" t="s">
        <v>31</v>
      </c>
      <c r="E10" s="11" t="s">
        <v>25</v>
      </c>
      <c r="F10" s="11" t="s">
        <v>30</v>
      </c>
      <c r="G10" s="11" t="s">
        <v>0</v>
      </c>
      <c r="H10" s="11" t="s">
        <v>0</v>
      </c>
      <c r="I10" s="11" t="s">
        <v>0</v>
      </c>
      <c r="J10" s="11" t="s">
        <v>0</v>
      </c>
      <c r="K10" s="11" t="s">
        <v>0</v>
      </c>
      <c r="L10" s="12" t="e">
        <f t="shared" si="1"/>
        <v>#VALUE!</v>
      </c>
      <c r="M10" s="12" t="s">
        <v>26</v>
      </c>
      <c r="N10" s="13" t="s">
        <v>27</v>
      </c>
      <c r="O10" s="14"/>
      <c r="P10" s="14"/>
    </row>
    <row r="11" customHeight="1" spans="1:16">
      <c r="A11" s="10">
        <f t="shared" si="0"/>
        <v>5</v>
      </c>
      <c r="B11" s="11">
        <v>5</v>
      </c>
      <c r="C11" s="11" t="s">
        <v>32</v>
      </c>
      <c r="D11" s="11" t="s">
        <v>33</v>
      </c>
      <c r="E11" s="11" t="s">
        <v>25</v>
      </c>
      <c r="F11" s="11" t="s">
        <v>32</v>
      </c>
      <c r="G11" s="11" t="s">
        <v>0</v>
      </c>
      <c r="H11" s="11" t="s">
        <v>0</v>
      </c>
      <c r="I11" s="11" t="s">
        <v>0</v>
      </c>
      <c r="J11" s="11" t="s">
        <v>0</v>
      </c>
      <c r="K11" s="11" t="s">
        <v>0</v>
      </c>
      <c r="L11" s="12" t="e">
        <f t="shared" si="1"/>
        <v>#VALUE!</v>
      </c>
      <c r="M11" s="12" t="s">
        <v>26</v>
      </c>
      <c r="N11" s="13" t="s">
        <v>27</v>
      </c>
    </row>
    <row r="12" customHeight="1" spans="1:16">
      <c r="A12" s="10">
        <f t="shared" si="0"/>
        <v>6</v>
      </c>
      <c r="B12" s="11">
        <v>6</v>
      </c>
      <c r="C12" s="11" t="s">
        <v>34</v>
      </c>
      <c r="D12" s="11" t="s">
        <v>35</v>
      </c>
      <c r="E12" s="11" t="s">
        <v>25</v>
      </c>
      <c r="F12" s="11" t="s">
        <v>34</v>
      </c>
      <c r="G12" s="11" t="s">
        <v>0</v>
      </c>
      <c r="H12" s="11" t="s">
        <v>0</v>
      </c>
      <c r="I12" s="11" t="s">
        <v>0</v>
      </c>
      <c r="J12" s="11" t="s">
        <v>0</v>
      </c>
      <c r="K12" s="11" t="s">
        <v>0</v>
      </c>
      <c r="L12" s="12" t="e">
        <f t="shared" si="1"/>
        <v>#VALUE!</v>
      </c>
      <c r="M12" s="12" t="s">
        <v>26</v>
      </c>
      <c r="N12" s="13" t="s">
        <v>27</v>
      </c>
    </row>
    <row r="13" customHeight="1" spans="1:16">
      <c r="A13" s="10">
        <f t="shared" si="0"/>
        <v>7</v>
      </c>
      <c r="B13" s="11">
        <v>2</v>
      </c>
      <c r="C13" s="11" t="s">
        <v>36</v>
      </c>
      <c r="D13" s="11" t="s">
        <v>37</v>
      </c>
      <c r="E13" s="11" t="s">
        <v>25</v>
      </c>
      <c r="F13" s="11" t="s">
        <v>36</v>
      </c>
      <c r="G13" s="11" t="s">
        <v>0</v>
      </c>
      <c r="H13" s="11" t="s">
        <v>0</v>
      </c>
      <c r="I13" s="11" t="s">
        <v>0</v>
      </c>
      <c r="J13" s="11" t="s">
        <v>0</v>
      </c>
      <c r="K13" s="11" t="s">
        <v>0</v>
      </c>
      <c r="L13" s="12" t="e">
        <f t="shared" si="1"/>
        <v>#VALUE!</v>
      </c>
      <c r="M13" s="12" t="s">
        <v>26</v>
      </c>
      <c r="N13" s="13" t="s">
        <v>27</v>
      </c>
    </row>
    <row r="14" customHeight="1" spans="1:16">
      <c r="A14" s="10">
        <f t="shared" si="0"/>
        <v>8</v>
      </c>
      <c r="B14" s="11">
        <v>3</v>
      </c>
      <c r="C14" s="11" t="s">
        <v>38</v>
      </c>
      <c r="D14" s="11" t="s">
        <v>39</v>
      </c>
      <c r="E14" s="11" t="s">
        <v>25</v>
      </c>
      <c r="F14" s="11" t="s">
        <v>38</v>
      </c>
      <c r="G14" s="11" t="s">
        <v>0</v>
      </c>
      <c r="H14" s="11" t="s">
        <v>0</v>
      </c>
      <c r="I14" s="11" t="s">
        <v>0</v>
      </c>
      <c r="J14" s="11" t="s">
        <v>0</v>
      </c>
      <c r="K14" s="11" t="s">
        <v>0</v>
      </c>
      <c r="L14" s="12" t="e">
        <f t="shared" si="1"/>
        <v>#VALUE!</v>
      </c>
      <c r="M14" s="12" t="s">
        <v>26</v>
      </c>
      <c r="N14" s="13" t="s">
        <v>27</v>
      </c>
    </row>
    <row r="15" customHeight="1" spans="1:16">
      <c r="A15" s="10">
        <f t="shared" si="0"/>
        <v>9</v>
      </c>
      <c r="B15" s="11">
        <v>3</v>
      </c>
      <c r="C15" s="11" t="s">
        <v>40</v>
      </c>
      <c r="D15" s="11" t="s">
        <v>41</v>
      </c>
      <c r="E15" s="11" t="s">
        <v>25</v>
      </c>
      <c r="F15" s="11" t="s">
        <v>42</v>
      </c>
      <c r="G15" s="11" t="s">
        <v>0</v>
      </c>
      <c r="H15" s="11" t="s">
        <v>0</v>
      </c>
      <c r="I15" s="11" t="s">
        <v>0</v>
      </c>
      <c r="J15" s="11" t="s">
        <v>0</v>
      </c>
      <c r="K15" s="11" t="s">
        <v>0</v>
      </c>
      <c r="L15" s="12" t="e">
        <f t="shared" si="1"/>
        <v>#VALUE!</v>
      </c>
      <c r="M15" s="12" t="s">
        <v>26</v>
      </c>
      <c r="N15" s="13" t="s">
        <v>27</v>
      </c>
    </row>
    <row r="16" customHeight="1" spans="1:16">
      <c r="A16" s="10">
        <f t="shared" si="0"/>
        <v>10</v>
      </c>
      <c r="B16" s="11">
        <v>2</v>
      </c>
      <c r="C16" s="11" t="s">
        <v>43</v>
      </c>
      <c r="D16" s="11" t="s">
        <v>44</v>
      </c>
      <c r="E16" s="11" t="s">
        <v>25</v>
      </c>
      <c r="F16" s="11" t="s">
        <v>43</v>
      </c>
      <c r="G16" s="11" t="s">
        <v>0</v>
      </c>
      <c r="H16" s="11" t="s">
        <v>0</v>
      </c>
      <c r="I16" s="11" t="s">
        <v>0</v>
      </c>
      <c r="J16" s="11" t="s">
        <v>0</v>
      </c>
      <c r="K16" s="11" t="s">
        <v>0</v>
      </c>
      <c r="L16" s="12" t="e">
        <f t="shared" si="1"/>
        <v>#VALUE!</v>
      </c>
      <c r="M16" s="15" t="s">
        <v>26</v>
      </c>
      <c r="N16" s="13" t="s">
        <v>27</v>
      </c>
    </row>
    <row r="17" customHeight="1" spans="1:14">
      <c r="A17" s="10">
        <f t="shared" si="0"/>
        <v>11</v>
      </c>
      <c r="B17" s="11">
        <v>1</v>
      </c>
      <c r="C17" s="11" t="s">
        <v>45</v>
      </c>
      <c r="D17" s="11" t="s">
        <v>46</v>
      </c>
      <c r="E17" s="11" t="s">
        <v>25</v>
      </c>
      <c r="F17" s="11" t="s">
        <v>45</v>
      </c>
      <c r="G17" s="11" t="s">
        <v>0</v>
      </c>
      <c r="H17" s="11" t="s">
        <v>0</v>
      </c>
      <c r="I17" s="11" t="s">
        <v>0</v>
      </c>
      <c r="J17" s="11" t="s">
        <v>0</v>
      </c>
      <c r="K17" s="11" t="s">
        <v>0</v>
      </c>
      <c r="L17" s="12" t="e">
        <f t="shared" si="1"/>
        <v>#VALUE!</v>
      </c>
      <c r="M17" s="15" t="s">
        <v>26</v>
      </c>
      <c r="N17" s="13" t="s">
        <v>27</v>
      </c>
    </row>
    <row r="18" customHeight="1" spans="1:14">
      <c r="A18" s="10">
        <f t="shared" si="0"/>
        <v>12</v>
      </c>
      <c r="B18" s="11">
        <v>2</v>
      </c>
      <c r="C18" s="11" t="s">
        <v>47</v>
      </c>
      <c r="D18" s="11" t="s">
        <v>48</v>
      </c>
      <c r="E18" s="11" t="s">
        <v>25</v>
      </c>
      <c r="F18" s="11" t="s">
        <v>47</v>
      </c>
      <c r="G18" s="11" t="s">
        <v>0</v>
      </c>
      <c r="H18" s="11" t="s">
        <v>0</v>
      </c>
      <c r="I18" s="11" t="s">
        <v>0</v>
      </c>
      <c r="J18" s="11" t="s">
        <v>0</v>
      </c>
      <c r="K18" s="11" t="s">
        <v>0</v>
      </c>
      <c r="L18" s="12" t="e">
        <f t="shared" si="1"/>
        <v>#VALUE!</v>
      </c>
      <c r="M18" s="15" t="s">
        <v>49</v>
      </c>
      <c r="N18" s="13" t="s">
        <v>27</v>
      </c>
    </row>
    <row r="19" customHeight="1" spans="1:14">
      <c r="A19" s="10">
        <f t="shared" si="0"/>
        <v>13</v>
      </c>
      <c r="B19" s="11">
        <v>1</v>
      </c>
      <c r="C19" s="11" t="s">
        <v>50</v>
      </c>
      <c r="D19" s="11" t="s">
        <v>51</v>
      </c>
      <c r="E19" s="11" t="s">
        <v>52</v>
      </c>
      <c r="F19" s="11" t="s">
        <v>0</v>
      </c>
      <c r="G19" s="11" t="s">
        <v>50</v>
      </c>
      <c r="H19" s="11" t="s">
        <v>53</v>
      </c>
      <c r="I19" s="11" t="s">
        <v>54</v>
      </c>
      <c r="J19" s="11" t="s">
        <v>55</v>
      </c>
      <c r="K19" s="11" t="s">
        <v>0</v>
      </c>
      <c r="L19" s="12" t="e">
        <f t="shared" si="1"/>
        <v>#VALUE!</v>
      </c>
      <c r="M19" s="12"/>
      <c r="N19" s="12"/>
    </row>
    <row r="20" customHeight="1" spans="1:14">
      <c r="A20" s="10">
        <f t="shared" si="0"/>
        <v>14</v>
      </c>
      <c r="B20" s="11">
        <v>1</v>
      </c>
      <c r="C20" s="11" t="s">
        <v>56</v>
      </c>
      <c r="D20" s="11" t="s">
        <v>57</v>
      </c>
      <c r="E20" s="11" t="s">
        <v>58</v>
      </c>
      <c r="F20" s="11" t="s">
        <v>0</v>
      </c>
      <c r="G20" s="11" t="s">
        <v>56</v>
      </c>
      <c r="H20" s="11" t="s">
        <v>0</v>
      </c>
      <c r="I20" s="11" t="s">
        <v>59</v>
      </c>
      <c r="J20" s="11" t="s">
        <v>55</v>
      </c>
      <c r="K20" s="11" t="s">
        <v>0</v>
      </c>
      <c r="L20" s="12" t="e">
        <f t="shared" si="1"/>
        <v>#VALUE!</v>
      </c>
      <c r="M20" s="12"/>
      <c r="N20" s="12"/>
    </row>
    <row r="21" customHeight="1" spans="1:14">
      <c r="A21" s="10">
        <f t="shared" si="0"/>
        <v>15</v>
      </c>
      <c r="B21" s="11">
        <v>1</v>
      </c>
      <c r="C21" s="11" t="s">
        <v>60</v>
      </c>
      <c r="D21" s="11" t="s">
        <v>61</v>
      </c>
      <c r="E21" s="11" t="s">
        <v>62</v>
      </c>
      <c r="F21" s="11" t="s">
        <v>0</v>
      </c>
      <c r="G21" s="11" t="s">
        <v>60</v>
      </c>
      <c r="H21" s="11" t="s">
        <v>63</v>
      </c>
      <c r="I21" s="11" t="s">
        <v>64</v>
      </c>
      <c r="J21" s="11" t="s">
        <v>55</v>
      </c>
      <c r="K21" s="11" t="s">
        <v>0</v>
      </c>
      <c r="L21" s="12" t="e">
        <f t="shared" si="1"/>
        <v>#VALUE!</v>
      </c>
      <c r="M21" s="12"/>
      <c r="N21" s="12"/>
    </row>
    <row r="22" customHeight="1" spans="1:14">
      <c r="A22" s="10">
        <f t="shared" si="0"/>
        <v>16</v>
      </c>
      <c r="B22" s="11">
        <v>1</v>
      </c>
      <c r="C22" s="11" t="s">
        <v>65</v>
      </c>
      <c r="D22" s="11" t="s">
        <v>66</v>
      </c>
      <c r="E22" s="11" t="s">
        <v>67</v>
      </c>
      <c r="F22" s="11" t="s">
        <v>65</v>
      </c>
      <c r="G22" s="11" t="s">
        <v>68</v>
      </c>
      <c r="H22" s="11" t="s">
        <v>69</v>
      </c>
      <c r="I22" s="11" t="s">
        <v>70</v>
      </c>
      <c r="J22" s="11" t="s">
        <v>55</v>
      </c>
      <c r="K22" s="11" t="s">
        <v>0</v>
      </c>
      <c r="L22" s="12" t="e">
        <f t="shared" si="1"/>
        <v>#VALUE!</v>
      </c>
      <c r="M22" s="12"/>
      <c r="N22" s="12"/>
    </row>
    <row r="23" customHeight="1" spans="1:14">
      <c r="A23" s="10">
        <f t="shared" si="0"/>
        <v>17</v>
      </c>
      <c r="B23" s="11">
        <v>1</v>
      </c>
      <c r="C23" s="11" t="s">
        <v>71</v>
      </c>
      <c r="D23" s="11" t="s">
        <v>72</v>
      </c>
      <c r="E23" s="11" t="s">
        <v>73</v>
      </c>
      <c r="F23" s="11" t="s">
        <v>0</v>
      </c>
      <c r="G23" s="11" t="s">
        <v>71</v>
      </c>
      <c r="H23" s="11" t="s">
        <v>74</v>
      </c>
      <c r="I23" s="11" t="s">
        <v>75</v>
      </c>
      <c r="J23" s="11" t="s">
        <v>55</v>
      </c>
      <c r="K23" s="11" t="s">
        <v>0</v>
      </c>
      <c r="L23" s="12" t="e">
        <f t="shared" si="1"/>
        <v>#VALUE!</v>
      </c>
      <c r="M23" s="12"/>
      <c r="N23" s="12"/>
    </row>
    <row r="24" customHeight="1" spans="1:14">
      <c r="A24" s="10">
        <f t="shared" si="0"/>
        <v>18</v>
      </c>
      <c r="B24" s="11">
        <v>3</v>
      </c>
      <c r="C24" s="11" t="s">
        <v>76</v>
      </c>
      <c r="D24" s="11" t="s">
        <v>77</v>
      </c>
      <c r="E24" s="11" t="s">
        <v>78</v>
      </c>
      <c r="F24" s="11" t="s">
        <v>0</v>
      </c>
      <c r="G24" s="11" t="s">
        <v>76</v>
      </c>
      <c r="H24" s="11" t="s">
        <v>79</v>
      </c>
      <c r="I24" s="11" t="s">
        <v>80</v>
      </c>
      <c r="J24" s="11" t="s">
        <v>55</v>
      </c>
      <c r="K24" s="11" t="s">
        <v>0</v>
      </c>
      <c r="L24" s="12" t="e">
        <f t="shared" si="1"/>
        <v>#VALUE!</v>
      </c>
      <c r="M24" s="12"/>
      <c r="N24" s="12"/>
    </row>
    <row r="25" customHeight="1" spans="1:14">
      <c r="A25" s="10">
        <f t="shared" si="0"/>
        <v>19</v>
      </c>
      <c r="B25" s="11">
        <v>1</v>
      </c>
      <c r="C25" s="11" t="s">
        <v>81</v>
      </c>
      <c r="D25" s="11" t="s">
        <v>82</v>
      </c>
      <c r="E25" s="11" t="s">
        <v>83</v>
      </c>
      <c r="F25" s="11" t="s">
        <v>81</v>
      </c>
      <c r="G25" s="11"/>
      <c r="H25" s="11"/>
      <c r="I25" s="11"/>
      <c r="J25" s="11"/>
      <c r="K25" s="11" t="s">
        <v>0</v>
      </c>
      <c r="L25" s="12" t="e">
        <f t="shared" si="1"/>
        <v>#VALUE!</v>
      </c>
      <c r="M25" s="12"/>
      <c r="N25" s="13" t="s">
        <v>84</v>
      </c>
    </row>
    <row r="26" customHeight="1" spans="1:14">
      <c r="A26" s="10">
        <f t="shared" si="0"/>
        <v>20</v>
      </c>
      <c r="B26" s="11">
        <v>3</v>
      </c>
      <c r="C26" s="11" t="s">
        <v>85</v>
      </c>
      <c r="D26" s="11" t="s">
        <v>86</v>
      </c>
      <c r="E26" s="11" t="s">
        <v>87</v>
      </c>
      <c r="F26" s="11" t="s">
        <v>85</v>
      </c>
      <c r="G26" s="11" t="s">
        <v>88</v>
      </c>
      <c r="H26" s="11" t="s">
        <v>89</v>
      </c>
      <c r="I26" s="11" t="s">
        <v>90</v>
      </c>
      <c r="J26" s="11" t="s">
        <v>55</v>
      </c>
      <c r="K26" s="11" t="s">
        <v>0</v>
      </c>
      <c r="L26" s="12" t="e">
        <f t="shared" si="1"/>
        <v>#VALUE!</v>
      </c>
      <c r="M26" s="12"/>
      <c r="N26" s="12" t="s">
        <v>91</v>
      </c>
    </row>
    <row r="27" customHeight="1" spans="1:14">
      <c r="A27" s="10">
        <f t="shared" si="0"/>
        <v>21</v>
      </c>
      <c r="B27" s="11">
        <v>2</v>
      </c>
      <c r="C27" s="11" t="s">
        <v>92</v>
      </c>
      <c r="D27" s="11" t="s">
        <v>93</v>
      </c>
      <c r="E27" s="11" t="s">
        <v>83</v>
      </c>
      <c r="F27" s="11" t="s">
        <v>92</v>
      </c>
      <c r="G27" s="11"/>
      <c r="H27" s="11"/>
      <c r="I27" s="11"/>
      <c r="J27" s="11"/>
      <c r="K27" s="11" t="s">
        <v>0</v>
      </c>
      <c r="L27" s="12" t="e">
        <f t="shared" si="1"/>
        <v>#VALUE!</v>
      </c>
      <c r="M27" s="12"/>
      <c r="N27" s="13" t="s">
        <v>84</v>
      </c>
    </row>
    <row r="28" customHeight="1" spans="1:14">
      <c r="A28" s="10">
        <f t="shared" si="0"/>
        <v>22</v>
      </c>
      <c r="B28" s="11">
        <v>1</v>
      </c>
      <c r="C28" s="11" t="s">
        <v>94</v>
      </c>
      <c r="D28" s="11" t="s">
        <v>95</v>
      </c>
      <c r="E28" s="11" t="s">
        <v>83</v>
      </c>
      <c r="F28" s="11" t="s">
        <v>96</v>
      </c>
      <c r="G28" s="11" t="s">
        <v>0</v>
      </c>
      <c r="H28" s="11" t="s">
        <v>0</v>
      </c>
      <c r="I28" s="11" t="s">
        <v>0</v>
      </c>
      <c r="J28" s="11" t="s">
        <v>0</v>
      </c>
      <c r="K28" s="11" t="s">
        <v>0</v>
      </c>
      <c r="L28" s="12" t="e">
        <f t="shared" si="1"/>
        <v>#VALUE!</v>
      </c>
      <c r="M28" s="12"/>
      <c r="N28" s="13" t="s">
        <v>84</v>
      </c>
    </row>
    <row r="29" customHeight="1" spans="1:14">
      <c r="A29" s="10">
        <f t="shared" si="0"/>
        <v>23</v>
      </c>
      <c r="B29" s="11">
        <v>6</v>
      </c>
      <c r="C29" s="11" t="s">
        <v>97</v>
      </c>
      <c r="D29" s="11" t="s">
        <v>98</v>
      </c>
      <c r="E29" s="11" t="s">
        <v>83</v>
      </c>
      <c r="F29" s="11" t="s">
        <v>97</v>
      </c>
      <c r="G29" s="11" t="s">
        <v>0</v>
      </c>
      <c r="H29" s="11" t="s">
        <v>0</v>
      </c>
      <c r="I29" s="11" t="s">
        <v>0</v>
      </c>
      <c r="J29" s="11" t="s">
        <v>0</v>
      </c>
      <c r="K29" s="11" t="s">
        <v>0</v>
      </c>
      <c r="L29" s="12" t="e">
        <f t="shared" si="1"/>
        <v>#VALUE!</v>
      </c>
      <c r="M29" s="12"/>
      <c r="N29" s="13" t="s">
        <v>84</v>
      </c>
    </row>
    <row r="30" customHeight="1" spans="1:14">
      <c r="A30" s="10">
        <f t="shared" si="0"/>
        <v>24</v>
      </c>
      <c r="B30" s="11">
        <v>3</v>
      </c>
      <c r="C30" s="11" t="s">
        <v>99</v>
      </c>
      <c r="D30" s="11" t="s">
        <v>100</v>
      </c>
      <c r="E30" s="11" t="s">
        <v>83</v>
      </c>
      <c r="F30" s="11" t="s">
        <v>99</v>
      </c>
      <c r="G30" s="11" t="s">
        <v>0</v>
      </c>
      <c r="H30" s="11" t="s">
        <v>0</v>
      </c>
      <c r="I30" s="11" t="s">
        <v>0</v>
      </c>
      <c r="J30" s="11" t="s">
        <v>0</v>
      </c>
      <c r="K30" s="11" t="s">
        <v>0</v>
      </c>
      <c r="L30" s="12" t="e">
        <f t="shared" si="1"/>
        <v>#VALUE!</v>
      </c>
      <c r="M30" s="12"/>
      <c r="N30" s="16" t="s">
        <v>84</v>
      </c>
    </row>
    <row r="31" customHeight="1" spans="1:14">
      <c r="A31" s="10">
        <f t="shared" si="0"/>
        <v>25</v>
      </c>
      <c r="B31" s="11">
        <v>1</v>
      </c>
      <c r="C31" s="11" t="s">
        <v>101</v>
      </c>
      <c r="D31" s="11" t="s">
        <v>102</v>
      </c>
      <c r="E31" s="11" t="s">
        <v>83</v>
      </c>
      <c r="F31" s="11" t="s">
        <v>101</v>
      </c>
      <c r="G31" s="11" t="s">
        <v>0</v>
      </c>
      <c r="H31" s="11" t="s">
        <v>0</v>
      </c>
      <c r="I31" s="11" t="s">
        <v>0</v>
      </c>
      <c r="J31" s="11" t="s">
        <v>0</v>
      </c>
      <c r="K31" s="11" t="s">
        <v>0</v>
      </c>
      <c r="L31" s="12" t="e">
        <f t="shared" si="1"/>
        <v>#VALUE!</v>
      </c>
      <c r="M31" s="12"/>
      <c r="N31" s="16" t="s">
        <v>84</v>
      </c>
    </row>
    <row r="32" customHeight="1" spans="1:14">
      <c r="A32" s="10">
        <f t="shared" si="0"/>
        <v>26</v>
      </c>
      <c r="B32" s="11">
        <v>1</v>
      </c>
      <c r="C32" s="11" t="s">
        <v>103</v>
      </c>
      <c r="D32" s="11" t="s">
        <v>104</v>
      </c>
      <c r="E32" s="11" t="s">
        <v>83</v>
      </c>
      <c r="F32" s="11" t="s">
        <v>103</v>
      </c>
      <c r="G32" s="11" t="s">
        <v>0</v>
      </c>
      <c r="H32" s="11" t="s">
        <v>0</v>
      </c>
      <c r="I32" s="11" t="s">
        <v>0</v>
      </c>
      <c r="J32" s="11" t="s">
        <v>0</v>
      </c>
      <c r="K32" s="11" t="s">
        <v>0</v>
      </c>
      <c r="L32" s="12" t="e">
        <f t="shared" si="1"/>
        <v>#VALUE!</v>
      </c>
      <c r="M32" s="12"/>
      <c r="N32" s="16" t="s">
        <v>84</v>
      </c>
    </row>
    <row r="33" customHeight="1" spans="1:14">
      <c r="A33" s="10">
        <f t="shared" si="0"/>
        <v>27</v>
      </c>
      <c r="B33" s="11">
        <v>1</v>
      </c>
      <c r="C33" s="11" t="s">
        <v>105</v>
      </c>
      <c r="D33" s="11" t="s">
        <v>106</v>
      </c>
      <c r="E33" s="11" t="s">
        <v>83</v>
      </c>
      <c r="F33" s="11" t="s">
        <v>105</v>
      </c>
      <c r="G33" s="11" t="s">
        <v>0</v>
      </c>
      <c r="H33" s="11" t="s">
        <v>0</v>
      </c>
      <c r="I33" s="11" t="s">
        <v>0</v>
      </c>
      <c r="J33" s="11" t="s">
        <v>0</v>
      </c>
      <c r="K33" s="11" t="s">
        <v>0</v>
      </c>
      <c r="L33" s="12" t="e">
        <f t="shared" si="1"/>
        <v>#VALUE!</v>
      </c>
      <c r="M33" s="12"/>
      <c r="N33" s="16" t="s">
        <v>84</v>
      </c>
    </row>
    <row r="34" customHeight="1" spans="1:14">
      <c r="A34" s="10">
        <f t="shared" si="0"/>
        <v>28</v>
      </c>
      <c r="B34" s="11">
        <v>6</v>
      </c>
      <c r="C34" s="11" t="s">
        <v>107</v>
      </c>
      <c r="D34" s="11" t="s">
        <v>108</v>
      </c>
      <c r="E34" s="11" t="s">
        <v>83</v>
      </c>
      <c r="F34" s="11" t="s">
        <v>107</v>
      </c>
      <c r="G34" s="11" t="s">
        <v>0</v>
      </c>
      <c r="H34" s="11" t="s">
        <v>0</v>
      </c>
      <c r="I34" s="11" t="s">
        <v>0</v>
      </c>
      <c r="J34" s="11" t="s">
        <v>0</v>
      </c>
      <c r="K34" s="11" t="s">
        <v>0</v>
      </c>
      <c r="L34" s="12" t="e">
        <f t="shared" si="1"/>
        <v>#VALUE!</v>
      </c>
      <c r="M34" s="12"/>
      <c r="N34" s="16" t="s">
        <v>84</v>
      </c>
    </row>
    <row r="35" customHeight="1" spans="1:14">
      <c r="A35" s="10">
        <f t="shared" si="0"/>
        <v>29</v>
      </c>
      <c r="B35" s="11">
        <v>6</v>
      </c>
      <c r="C35" s="11" t="s">
        <v>109</v>
      </c>
      <c r="D35" s="11" t="s">
        <v>110</v>
      </c>
      <c r="E35" s="11" t="s">
        <v>83</v>
      </c>
      <c r="F35" s="11" t="s">
        <v>109</v>
      </c>
      <c r="G35" s="11" t="s">
        <v>0</v>
      </c>
      <c r="H35" s="11" t="s">
        <v>0</v>
      </c>
      <c r="I35" s="11" t="s">
        <v>0</v>
      </c>
      <c r="J35" s="11" t="s">
        <v>0</v>
      </c>
      <c r="K35" s="11" t="s">
        <v>0</v>
      </c>
      <c r="L35" s="12" t="e">
        <f t="shared" si="1"/>
        <v>#VALUE!</v>
      </c>
      <c r="M35" s="12"/>
      <c r="N35" s="13" t="s">
        <v>111</v>
      </c>
    </row>
    <row r="36" customHeight="1" spans="1:14">
      <c r="A36" s="10">
        <f t="shared" si="0"/>
        <v>30</v>
      </c>
      <c r="B36" s="11">
        <v>6</v>
      </c>
      <c r="C36" s="11" t="s">
        <v>112</v>
      </c>
      <c r="D36" s="11" t="s">
        <v>113</v>
      </c>
      <c r="E36" s="11" t="s">
        <v>83</v>
      </c>
      <c r="F36" s="11" t="s">
        <v>112</v>
      </c>
      <c r="G36" s="11" t="s">
        <v>0</v>
      </c>
      <c r="H36" s="11" t="s">
        <v>0</v>
      </c>
      <c r="I36" s="11" t="s">
        <v>0</v>
      </c>
      <c r="J36" s="11" t="s">
        <v>0</v>
      </c>
      <c r="K36" s="11" t="s">
        <v>0</v>
      </c>
      <c r="L36" s="12" t="e">
        <f t="shared" si="1"/>
        <v>#VALUE!</v>
      </c>
      <c r="M36" s="12"/>
      <c r="N36" s="13" t="s">
        <v>111</v>
      </c>
    </row>
    <row r="37" customHeight="1" spans="1:14">
      <c r="A37" s="10">
        <f t="shared" si="0"/>
        <v>31</v>
      </c>
      <c r="B37" s="11">
        <v>3</v>
      </c>
      <c r="C37" s="11" t="s">
        <v>114</v>
      </c>
      <c r="D37" s="11" t="s">
        <v>115</v>
      </c>
      <c r="E37" s="11" t="s">
        <v>83</v>
      </c>
      <c r="F37" s="11" t="s">
        <v>114</v>
      </c>
      <c r="G37" s="11" t="s">
        <v>0</v>
      </c>
      <c r="H37" s="11" t="s">
        <v>0</v>
      </c>
      <c r="I37" s="11" t="s">
        <v>0</v>
      </c>
      <c r="J37" s="11" t="s">
        <v>0</v>
      </c>
      <c r="K37" s="11" t="s">
        <v>0</v>
      </c>
      <c r="L37" s="12" t="e">
        <f t="shared" si="1"/>
        <v>#VALUE!</v>
      </c>
      <c r="M37" s="12"/>
      <c r="N37" s="13" t="s">
        <v>111</v>
      </c>
    </row>
    <row r="38" customHeight="1" spans="1:14">
      <c r="A38" s="10">
        <f t="shared" si="0"/>
        <v>32</v>
      </c>
      <c r="B38" s="11">
        <v>1</v>
      </c>
      <c r="C38" s="11" t="s">
        <v>116</v>
      </c>
      <c r="D38" s="11" t="s">
        <v>117</v>
      </c>
      <c r="E38" s="11" t="s">
        <v>118</v>
      </c>
      <c r="F38" s="11" t="s">
        <v>0</v>
      </c>
      <c r="G38" s="11" t="s">
        <v>116</v>
      </c>
      <c r="H38" s="11" t="s">
        <v>119</v>
      </c>
      <c r="I38" s="11" t="s">
        <v>120</v>
      </c>
      <c r="J38" s="11" t="s">
        <v>55</v>
      </c>
      <c r="K38" s="11" t="s">
        <v>0</v>
      </c>
      <c r="L38" s="12" t="e">
        <f t="shared" si="1"/>
        <v>#VALUE!</v>
      </c>
      <c r="M38" s="12"/>
      <c r="N38" s="12"/>
    </row>
    <row r="39" customHeight="1" spans="1:14">
      <c r="A39" s="10">
        <f t="shared" si="0"/>
        <v>33</v>
      </c>
      <c r="B39" s="11">
        <v>1</v>
      </c>
      <c r="C39" s="11" t="s">
        <v>121</v>
      </c>
      <c r="D39" s="11" t="s">
        <v>122</v>
      </c>
      <c r="E39" s="11" t="s">
        <v>123</v>
      </c>
      <c r="F39" s="11" t="s">
        <v>0</v>
      </c>
      <c r="G39" s="11" t="s">
        <v>121</v>
      </c>
      <c r="H39" s="11" t="s">
        <v>124</v>
      </c>
      <c r="I39" s="11" t="s">
        <v>125</v>
      </c>
      <c r="J39" s="11" t="s">
        <v>55</v>
      </c>
      <c r="K39" s="11" t="s">
        <v>0</v>
      </c>
      <c r="L39" s="12" t="e">
        <f t="shared" si="1"/>
        <v>#VALUE!</v>
      </c>
      <c r="M39" s="12"/>
      <c r="N39" s="12"/>
    </row>
    <row r="40" customHeight="1" spans="1:14">
      <c r="A40" s="10">
        <f t="shared" si="0"/>
        <v>34</v>
      </c>
      <c r="B40" s="11">
        <v>1</v>
      </c>
      <c r="C40" s="11" t="s">
        <v>126</v>
      </c>
      <c r="D40" s="11" t="s">
        <v>127</v>
      </c>
      <c r="E40" s="11" t="s">
        <v>128</v>
      </c>
      <c r="F40" s="11" t="s">
        <v>0</v>
      </c>
      <c r="G40" s="11" t="s">
        <v>126</v>
      </c>
      <c r="H40" s="11" t="s">
        <v>129</v>
      </c>
      <c r="I40" s="11" t="s">
        <v>130</v>
      </c>
      <c r="J40" s="11" t="s">
        <v>55</v>
      </c>
      <c r="K40" s="11" t="s">
        <v>0</v>
      </c>
      <c r="L40" s="12" t="e">
        <f t="shared" si="1"/>
        <v>#VALUE!</v>
      </c>
      <c r="M40" s="12"/>
      <c r="N40" s="12"/>
    </row>
    <row r="41" customHeight="1" spans="1:14">
      <c r="A41" s="10">
        <f t="shared" si="0"/>
        <v>35</v>
      </c>
      <c r="B41" s="11">
        <v>1</v>
      </c>
      <c r="C41" s="11" t="s">
        <v>131</v>
      </c>
      <c r="D41" s="11" t="s">
        <v>132</v>
      </c>
      <c r="E41" s="11" t="s">
        <v>133</v>
      </c>
      <c r="F41" s="11" t="s">
        <v>0</v>
      </c>
      <c r="G41" s="11" t="s">
        <v>131</v>
      </c>
      <c r="H41" s="11" t="s">
        <v>129</v>
      </c>
      <c r="I41" s="11" t="s">
        <v>134</v>
      </c>
      <c r="J41" s="11" t="s">
        <v>55</v>
      </c>
      <c r="K41" s="11" t="s">
        <v>0</v>
      </c>
      <c r="L41" s="12" t="e">
        <f t="shared" si="1"/>
        <v>#VALUE!</v>
      </c>
      <c r="M41" s="12"/>
      <c r="N41" s="12"/>
    </row>
    <row r="42" customHeight="1" spans="1:14">
      <c r="A42" s="10">
        <f t="shared" si="0"/>
        <v>36</v>
      </c>
      <c r="B42" s="11">
        <v>1</v>
      </c>
      <c r="C42" s="11" t="s">
        <v>135</v>
      </c>
      <c r="D42" s="11" t="s">
        <v>136</v>
      </c>
      <c r="E42" s="11" t="s">
        <v>137</v>
      </c>
      <c r="F42" s="11" t="s">
        <v>0</v>
      </c>
      <c r="G42" s="11" t="s">
        <v>135</v>
      </c>
      <c r="H42" s="11" t="s">
        <v>138</v>
      </c>
      <c r="I42" s="11" t="s">
        <v>139</v>
      </c>
      <c r="J42" s="11" t="s">
        <v>55</v>
      </c>
      <c r="K42" s="11" t="s">
        <v>0</v>
      </c>
      <c r="L42" s="12" t="e">
        <f t="shared" si="1"/>
        <v>#VALUE!</v>
      </c>
      <c r="M42" s="12"/>
      <c r="N42" s="12"/>
    </row>
    <row r="43" customHeight="1" spans="1:14">
      <c r="A43" s="10">
        <f t="shared" si="0"/>
        <v>37</v>
      </c>
      <c r="B43" s="11">
        <v>1</v>
      </c>
      <c r="C43" s="11" t="s">
        <v>140</v>
      </c>
      <c r="D43" s="11" t="s">
        <v>141</v>
      </c>
      <c r="E43" s="11" t="s">
        <v>142</v>
      </c>
      <c r="F43" s="11" t="s">
        <v>140</v>
      </c>
      <c r="G43" s="11" t="s">
        <v>143</v>
      </c>
      <c r="H43" s="11" t="s">
        <v>144</v>
      </c>
      <c r="I43" s="11" t="s">
        <v>145</v>
      </c>
      <c r="J43" s="11" t="s">
        <v>55</v>
      </c>
      <c r="K43" s="11" t="s">
        <v>0</v>
      </c>
      <c r="L43" s="12" t="e">
        <f t="shared" si="1"/>
        <v>#VALUE!</v>
      </c>
      <c r="M43" s="12"/>
      <c r="N43" s="12"/>
    </row>
    <row r="44" customHeight="1" spans="1:14">
      <c r="A44" s="10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</sheetData>
  <mergeCells count="4">
    <mergeCell ref="B44:L44"/>
    <mergeCell ref="E1:E2"/>
    <mergeCell ref="F1:F2"/>
    <mergeCell ref="A1:D5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A1" sqref="A1"/>
    </sheetView>
  </sheetViews>
  <sheetFormatPr defaultColWidth="9" defaultRowHeight="14.25" customHeight="1" outlineLevelCol="1"/>
  <cols>
    <col min="1" max="1" width="23.6296296296296" customWidth="1"/>
    <col min="2" max="2" width="57.5" customWidth="1"/>
  </cols>
  <sheetData>
    <row r="1" customHeight="1" spans="1:2">
      <c r="A1" s="1" t="s">
        <v>146</v>
      </c>
      <c r="B1" s="1" t="s">
        <v>4</v>
      </c>
    </row>
    <row r="2" customHeight="1" spans="1:2">
      <c r="A2" s="1" t="s">
        <v>147</v>
      </c>
      <c r="B2" s="1" t="s">
        <v>148</v>
      </c>
    </row>
    <row r="3" customHeight="1" spans="1:2">
      <c r="A3" s="1" t="s">
        <v>149</v>
      </c>
      <c r="B3" s="1" t="s">
        <v>150</v>
      </c>
    </row>
    <row r="4" customHeight="1" spans="1:2">
      <c r="A4" s="1" t="s">
        <v>151</v>
      </c>
      <c r="B4" s="1" t="s">
        <v>6</v>
      </c>
    </row>
    <row r="5" customHeight="1" spans="1:2">
      <c r="A5" s="1" t="s">
        <v>152</v>
      </c>
      <c r="B5" s="1" t="s">
        <v>6</v>
      </c>
    </row>
    <row r="6" customHeight="1" spans="1:2">
      <c r="A6" s="1" t="s">
        <v>153</v>
      </c>
      <c r="B6" s="1">
        <v>99</v>
      </c>
    </row>
    <row r="7" customHeight="1" spans="1:2">
      <c r="A7" s="1" t="s">
        <v>154</v>
      </c>
      <c r="B7" s="1" t="s">
        <v>155</v>
      </c>
    </row>
    <row r="8" customHeight="1" spans="1:2">
      <c r="A8" s="1" t="s">
        <v>156</v>
      </c>
      <c r="B8" s="1" t="s">
        <v>157</v>
      </c>
    </row>
    <row r="9" customHeight="1" spans="1:2">
      <c r="A9" s="1" t="s">
        <v>158</v>
      </c>
      <c r="B9" s="1" t="s">
        <v>8</v>
      </c>
    </row>
    <row r="10" customHeight="1" spans="1:2">
      <c r="A10" s="1" t="s">
        <v>159</v>
      </c>
      <c r="B10" s="1" t="s">
        <v>2</v>
      </c>
    </row>
    <row r="11" customHeight="1" spans="1:2">
      <c r="A11" s="1" t="s">
        <v>160</v>
      </c>
      <c r="B11" s="1" t="s">
        <v>161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bom模板</vt:lpstr>
      <vt:lpstr>Field汇总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jlceda</dc:creator>
  <cp:lastModifiedBy>会飞的鱼</cp:lastModifiedBy>
  <dcterms:created xsi:type="dcterms:W3CDTF">2024-08-02T02:42:00Z</dcterms:created>
  <dcterms:modified xsi:type="dcterms:W3CDTF">2026-08-18T13:53:21Z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4877272B015042B5A4F7CB594576D3D1_12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