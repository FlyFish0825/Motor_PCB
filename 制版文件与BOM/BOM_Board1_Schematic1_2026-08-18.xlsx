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<sst xmlns="http://schemas.openxmlformats.org/spreadsheetml/2006/main" count="396" uniqueCount="161">
  <si>
    <t/>
  </si>
  <si>
    <t xml:space="preserve">Bill of Materials </t>
  </si>
  <si>
    <t>BOM_Board1_Schematic1_2026-09-05</t>
  </si>
  <si>
    <t>Project Title：</t>
  </si>
  <si>
    <t>Motor_Driver</t>
  </si>
  <si>
    <t>Variant:</t>
  </si>
  <si>
    <t xml:space="preserve"> </t>
  </si>
  <si>
    <t>Report Time：</t>
  </si>
  <si>
    <t>2026年9月5日 20:7:53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</si>
  <si>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</si>
  <si>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</si>
  <si>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</si>
  <si>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</si>
  <si>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</si>
  <si>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</si>
  <si>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</si>
  <si>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</si>
  <si>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</si>
  <si>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</si>
  <si>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</si>
  <si>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</si>
  <si>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Test-Point</t>
  </si>
  <si>
    <t>3V3, +6V, HO1, HO2, HO3, LO1, LO2, LO3</t>
  </si>
  <si>
    <t>Test-Point-0.5mm</t>
  </si>
  <si>
    <t>10uf</t>
  </si>
  <si>
    <t>C42, C44, C46</t>
  </si>
  <si>
    <t>C0603</t>
  </si>
  <si>
    <t>4.7uf</t>
  </si>
  <si>
    <t>C43, C45, C47</t>
  </si>
  <si>
    <t>100nF</t>
  </si>
  <si>
    <t>C48, C50, C53, C58, C64, C70, C75, C77, C79</t>
  </si>
  <si>
    <t>1uF</t>
  </si>
  <si>
    <t>C49, C59, C71, C76, C78</t>
  </si>
  <si>
    <t>10uF</t>
  </si>
  <si>
    <t>C54, C66</t>
  </si>
  <si>
    <t>470nF</t>
  </si>
  <si>
    <t>C55, C56, C57</t>
  </si>
  <si>
    <t>X7R</t>
  </si>
  <si>
    <t>C60, C61, C62</t>
  </si>
  <si>
    <t>68nF</t>
  </si>
  <si>
    <t>4.7uF</t>
  </si>
  <si>
    <t>C63, C72</t>
  </si>
  <si>
    <t>0.1uF</t>
  </si>
  <si>
    <t>C65</t>
  </si>
  <si>
    <t>10pF</t>
  </si>
  <si>
    <t>C82, C83</t>
  </si>
  <si>
    <t>PESD2CANFD24V-TR</t>
  </si>
  <si>
    <t>D3</t>
  </si>
  <si>
    <t>SOT-23-3_L2.9-W1.3-P1.90-LS2.4-BR</t>
  </si>
  <si>
    <t>Nexperia(安世)</t>
  </si>
  <si>
    <t>C552486</t>
  </si>
  <si>
    <t>LCSC</t>
  </si>
  <si>
    <t>SS310</t>
  </si>
  <si>
    <t>D5</t>
  </si>
  <si>
    <t>DO-214AC_L4.3-W2.4-LS4.7-RD</t>
  </si>
  <si>
    <t>C9900021858</t>
  </si>
  <si>
    <t>BLM18PG121SN1D</t>
  </si>
  <si>
    <t>L4</t>
  </si>
  <si>
    <t>L0603</t>
  </si>
  <si>
    <t>muRata(村田)</t>
  </si>
  <si>
    <t>C14709</t>
  </si>
  <si>
    <t>33uH</t>
  </si>
  <si>
    <t>L5</t>
  </si>
  <si>
    <t>IND-SMD_L4.0-W4.0_FNR40XXS</t>
  </si>
  <si>
    <t>FNR4030S330MT</t>
  </si>
  <si>
    <t>cjiang(长江微电)</t>
  </si>
  <si>
    <t>C167885</t>
  </si>
  <si>
    <t>LED</t>
  </si>
  <si>
    <t>LED1</t>
  </si>
  <si>
    <t>LED0603-FD</t>
  </si>
  <si>
    <t>Guiguang light(桂光光电)</t>
  </si>
  <si>
    <t>C51933292</t>
  </si>
  <si>
    <t>XRS60V06F</t>
  </si>
  <si>
    <t>Q1, Q2, Q3</t>
  </si>
  <si>
    <t>PDFN-8_L5.8-W4.9-P1.27-LS6.1-BL-1</t>
  </si>
  <si>
    <t>XNRUSEMI(新锐)</t>
  </si>
  <si>
    <t>C42457040</t>
  </si>
  <si>
    <t>1kΩ</t>
  </si>
  <si>
    <t>R14</t>
  </si>
  <si>
    <t>R0603</t>
  </si>
  <si>
    <t>0603WAF1001T5E</t>
  </si>
  <si>
    <t>UNI-ROYAL(厚声)</t>
  </si>
  <si>
    <t>C21190</t>
  </si>
  <si>
    <t>5mΩ</t>
  </si>
  <si>
    <t>R21, R22, R23</t>
  </si>
  <si>
    <t>R2512</t>
  </si>
  <si>
    <t>JER2512F3R005</t>
  </si>
  <si>
    <t>JIERR(捷而瑞)</t>
  </si>
  <si>
    <t>C46634460</t>
  </si>
  <si>
    <t>10kΩ</t>
  </si>
  <si>
    <t>R25, R26</t>
  </si>
  <si>
    <t>FRC0603F1002TS</t>
  </si>
  <si>
    <t>FOJAN(富捷)</t>
  </si>
  <si>
    <t>C2906982</t>
  </si>
  <si>
    <t>DNP</t>
  </si>
  <si>
    <t>R27</t>
  </si>
  <si>
    <t>120</t>
  </si>
  <si>
    <t>100K</t>
  </si>
  <si>
    <t>R28, R30, R32, R34, R36, R39</t>
  </si>
  <si>
    <t>5.1K</t>
  </si>
  <si>
    <t>R29, R31, R33</t>
  </si>
  <si>
    <t>4.7K</t>
  </si>
  <si>
    <t>R35</t>
  </si>
  <si>
    <t>68K</t>
  </si>
  <si>
    <t>R37, R61, R62, R63, R64, R65, R66</t>
  </si>
  <si>
    <t>10K</t>
  </si>
  <si>
    <t>R38</t>
  </si>
  <si>
    <t>10</t>
  </si>
  <si>
    <t>R40, R41, R42, R43, R44, R45, R67, R68</t>
  </si>
  <si>
    <t>5K</t>
  </si>
  <si>
    <t>R46, R49, R51, R54, R56, R59</t>
  </si>
  <si>
    <t>240K</t>
  </si>
  <si>
    <t>R47, R48, R52, R53, R57, R58</t>
  </si>
  <si>
    <t>120K</t>
  </si>
  <si>
    <t>R50, R55, R60</t>
  </si>
  <si>
    <t>STM32G431CBU6</t>
  </si>
  <si>
    <t>U9</t>
  </si>
  <si>
    <t>VQFN-48_L7.0-W7.0-P0.50-BL-EP5.5</t>
  </si>
  <si>
    <t>ST(意法半导体)</t>
  </si>
  <si>
    <t>C529356</t>
  </si>
  <si>
    <t>DRV8300DRGER-MS</t>
  </si>
  <si>
    <t>U10</t>
  </si>
  <si>
    <t>HVQFN-24_L4.0-W4.0-P0.50-BL-EP2.6</t>
  </si>
  <si>
    <t>MSKSEMI(美森科)</t>
  </si>
  <si>
    <t>C54781073</t>
  </si>
  <si>
    <t>TCAN3414DDFR</t>
  </si>
  <si>
    <t>U11</t>
  </si>
  <si>
    <t>TSOT-23-8_L2.9-W1.6-P0.65-LS2.8-BR</t>
  </si>
  <si>
    <t>TI(德州仪器)</t>
  </si>
  <si>
    <t>C24836183</t>
  </si>
  <si>
    <t>LMR16006XDDCR</t>
  </si>
  <si>
    <t>U12</t>
  </si>
  <si>
    <t>SOT-23-6_L2.9-W1.6-P0.95-LS2.8-BR</t>
  </si>
  <si>
    <t>C87080</t>
  </si>
  <si>
    <t>NCP718AMT330TBG</t>
  </si>
  <si>
    <t>U14</t>
  </si>
  <si>
    <t>WDFN-6_L2.0-W2.0-P0.65-BL-EP</t>
  </si>
  <si>
    <t>onsemi(安森美)</t>
  </si>
  <si>
    <t>C603783</t>
  </si>
  <si>
    <t>16MHz</t>
  </si>
  <si>
    <t>X1</t>
  </si>
  <si>
    <t>CRYSTAL-SMD_4P-L2.0-W1.6-BL_XL7EL89COI-111YLC-16M</t>
  </si>
  <si>
    <t>XL7EL89COI-111YLC-16M</t>
  </si>
  <si>
    <t>YXC(扬兴晶振)</t>
  </si>
  <si>
    <t>C2965579</t>
  </si>
  <si>
    <t>Project Title</t>
  </si>
  <si>
    <t>Borard Title</t>
  </si>
  <si>
    <t>Board1</t>
  </si>
  <si>
    <t>Schematic Title</t>
  </si>
  <si>
    <t>Schematic1</t>
  </si>
  <si>
    <t>PCB Title</t>
  </si>
  <si>
    <t>Variant Name</t>
  </si>
  <si>
    <t>Total Quantity</t>
  </si>
  <si>
    <t>Report Time</t>
  </si>
  <si>
    <t>20:7:53</t>
  </si>
  <si>
    <t>Report Date</t>
  </si>
  <si>
    <t>2026年9月5日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</si>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</sst>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8</v>
      </c>
      <c r="C7" s="9" t="s">
        <v>21</v>
      </c>
      <c r="D7" s="9" t="s">
        <v>22</v>
      </c>
      <c r="E7" s="9" t="s">
        <v>23</v>
      </c>
      <c r="F7" s="9" t="s">
        <v>0</v>
      </c>
      <c r="G7" s="9" t="s">
        <v>0</v>
      </c>
      <c r="H7" s="9" t="s">
        <v>0</v>
      </c>
      <c r="I7" s="9" t="s">
        <v>0</v>
      </c>
      <c r="J7" s="9" t="s">
        <v>0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3</v>
      </c>
      <c r="C8" s="9" t="s">
        <v>24</v>
      </c>
      <c r="D8" s="9" t="s">
        <v>25</v>
      </c>
      <c r="E8" s="9" t="s">
        <v>26</v>
      </c>
      <c r="F8" s="9" t="s">
        <v>24</v>
      </c>
      <c r="G8" s="9" t="s">
        <v>0</v>
      </c>
      <c r="H8" s="9" t="s">
        <v>0</v>
      </c>
      <c r="I8" s="9" t="s">
        <v>0</v>
      </c>
      <c r="J8" s="9" t="s">
        <v>0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3</v>
      </c>
      <c r="C9" s="9" t="s">
        <v>27</v>
      </c>
      <c r="D9" s="9" t="s">
        <v>28</v>
      </c>
      <c r="E9" s="9" t="s">
        <v>26</v>
      </c>
      <c r="F9" s="9" t="s">
        <v>27</v>
      </c>
      <c r="G9" s="9" t="s">
        <v>0</v>
      </c>
      <c r="H9" s="9" t="s">
        <v>0</v>
      </c>
      <c r="I9" s="9" t="s">
        <v>0</v>
      </c>
      <c r="J9" s="9" t="s">
        <v>0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9</v>
      </c>
      <c r="C10" s="9" t="s">
        <v>29</v>
      </c>
      <c r="D10" s="9" t="s">
        <v>30</v>
      </c>
      <c r="E10" s="9" t="s">
        <v>26</v>
      </c>
      <c r="F10" s="9" t="s">
        <v>29</v>
      </c>
      <c r="G10" s="9" t="s">
        <v>0</v>
      </c>
      <c r="H10" s="9" t="s">
        <v>0</v>
      </c>
      <c r="I10" s="9" t="s">
        <v>0</v>
      </c>
      <c r="J10" s="9" t="s">
        <v>0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5</v>
      </c>
      <c r="C11" s="9" t="s">
        <v>31</v>
      </c>
      <c r="D11" s="9" t="s">
        <v>32</v>
      </c>
      <c r="E11" s="9" t="s">
        <v>26</v>
      </c>
      <c r="F11" s="9" t="s">
        <v>31</v>
      </c>
      <c r="G11" s="9" t="s">
        <v>0</v>
      </c>
      <c r="H11" s="9" t="s">
        <v>0</v>
      </c>
      <c r="I11" s="9" t="s">
        <v>0</v>
      </c>
      <c r="J11" s="9" t="s">
        <v>0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2</v>
      </c>
      <c r="C12" s="9" t="s">
        <v>33</v>
      </c>
      <c r="D12" s="9" t="s">
        <v>34</v>
      </c>
      <c r="E12" s="9" t="s">
        <v>26</v>
      </c>
      <c r="F12" s="9" t="s">
        <v>33</v>
      </c>
      <c r="G12" s="9" t="s">
        <v>0</v>
      </c>
      <c r="H12" s="9" t="s">
        <v>0</v>
      </c>
      <c r="I12" s="9" t="s">
        <v>0</v>
      </c>
      <c r="J12" s="9" t="s">
        <v>0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3</v>
      </c>
      <c r="C13" s="9" t="s">
        <v>35</v>
      </c>
      <c r="D13" s="9" t="s">
        <v>36</v>
      </c>
      <c r="E13" s="9" t="s">
        <v>26</v>
      </c>
      <c r="F13" s="9" t="s">
        <v>35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3</v>
      </c>
      <c r="C14" s="9" t="s">
        <v>37</v>
      </c>
      <c r="D14" s="9" t="s">
        <v>38</v>
      </c>
      <c r="E14" s="9" t="s">
        <v>26</v>
      </c>
      <c r="F14" s="9" t="s">
        <v>39</v>
      </c>
      <c r="G14" s="9" t="s">
        <v>0</v>
      </c>
      <c r="H14" s="9" t="s">
        <v>0</v>
      </c>
      <c r="I14" s="9" t="s">
        <v>0</v>
      </c>
      <c r="J14" s="9" t="s">
        <v>0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2</v>
      </c>
      <c r="C15" s="9" t="s">
        <v>40</v>
      </c>
      <c r="D15" s="9" t="s">
        <v>41</v>
      </c>
      <c r="E15" s="9" t="s">
        <v>26</v>
      </c>
      <c r="F15" s="9" t="s">
        <v>40</v>
      </c>
      <c r="G15" s="9" t="s">
        <v>0</v>
      </c>
      <c r="H15" s="9" t="s">
        <v>0</v>
      </c>
      <c r="I15" s="9" t="s">
        <v>0</v>
      </c>
      <c r="J15" s="9" t="s">
        <v>0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1</v>
      </c>
      <c r="C16" s="9" t="s">
        <v>42</v>
      </c>
      <c r="D16" s="9" t="s">
        <v>43</v>
      </c>
      <c r="E16" s="9" t="s">
        <v>26</v>
      </c>
      <c r="F16" s="9" t="s">
        <v>42</v>
      </c>
      <c r="G16" s="9" t="s">
        <v>0</v>
      </c>
      <c r="H16" s="9" t="s">
        <v>0</v>
      </c>
      <c r="I16" s="9" t="s">
        <v>0</v>
      </c>
      <c r="J16" s="9" t="s">
        <v>0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2</v>
      </c>
      <c r="C17" s="9" t="s">
        <v>44</v>
      </c>
      <c r="D17" s="9" t="s">
        <v>45</v>
      </c>
      <c r="E17" s="9" t="s">
        <v>26</v>
      </c>
      <c r="F17" s="9" t="s">
        <v>44</v>
      </c>
      <c r="G17" s="9" t="s">
        <v>0</v>
      </c>
      <c r="H17" s="9" t="s">
        <v>0</v>
      </c>
      <c r="I17" s="9" t="s">
        <v>0</v>
      </c>
      <c r="J17" s="9" t="s">
        <v>0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46</v>
      </c>
      <c r="D18" s="9" t="s">
        <v>47</v>
      </c>
      <c r="E18" s="9" t="s">
        <v>48</v>
      </c>
      <c r="F18" s="9" t="s">
        <v>0</v>
      </c>
      <c r="G18" s="9" t="s">
        <v>46</v>
      </c>
      <c r="H18" s="9" t="s">
        <v>49</v>
      </c>
      <c r="I18" s="9" t="s">
        <v>50</v>
      </c>
      <c r="J18" s="9" t="s">
        <v>51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52</v>
      </c>
      <c r="D19" s="9" t="s">
        <v>53</v>
      </c>
      <c r="E19" s="9" t="s">
        <v>54</v>
      </c>
      <c r="F19" s="9" t="s">
        <v>0</v>
      </c>
      <c r="G19" s="9" t="s">
        <v>52</v>
      </c>
      <c r="H19" s="9" t="s">
        <v>0</v>
      </c>
      <c r="I19" s="9" t="s">
        <v>55</v>
      </c>
      <c r="J19" s="9" t="s">
        <v>51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1</v>
      </c>
      <c r="C20" s="9" t="s">
        <v>56</v>
      </c>
      <c r="D20" s="9" t="s">
        <v>57</v>
      </c>
      <c r="E20" s="9" t="s">
        <v>58</v>
      </c>
      <c r="F20" s="9" t="s">
        <v>0</v>
      </c>
      <c r="G20" s="9" t="s">
        <v>56</v>
      </c>
      <c r="H20" s="9" t="s">
        <v>59</v>
      </c>
      <c r="I20" s="9" t="s">
        <v>60</v>
      </c>
      <c r="J20" s="9" t="s">
        <v>51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1</v>
      </c>
      <c r="C21" s="9" t="s">
        <v>61</v>
      </c>
      <c r="D21" s="9" t="s">
        <v>62</v>
      </c>
      <c r="E21" s="9" t="s">
        <v>63</v>
      </c>
      <c r="F21" s="9" t="s">
        <v>61</v>
      </c>
      <c r="G21" s="9" t="s">
        <v>64</v>
      </c>
      <c r="H21" s="9" t="s">
        <v>65</v>
      </c>
      <c r="I21" s="9" t="s">
        <v>66</v>
      </c>
      <c r="J21" s="9" t="s">
        <v>51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1</v>
      </c>
      <c r="C22" s="9" t="s">
        <v>67</v>
      </c>
      <c r="D22" s="9" t="s">
        <v>68</v>
      </c>
      <c r="E22" s="9" t="s">
        <v>69</v>
      </c>
      <c r="F22" s="9" t="s">
        <v>0</v>
      </c>
      <c r="G22" s="9" t="s">
        <v>67</v>
      </c>
      <c r="H22" s="9" t="s">
        <v>70</v>
      </c>
      <c r="I22" s="9" t="s">
        <v>71</v>
      </c>
      <c r="J22" s="9" t="s">
        <v>51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3</v>
      </c>
      <c r="C23" s="9" t="s">
        <v>72</v>
      </c>
      <c r="D23" s="9" t="s">
        <v>73</v>
      </c>
      <c r="E23" s="9" t="s">
        <v>74</v>
      </c>
      <c r="F23" s="9" t="s">
        <v>0</v>
      </c>
      <c r="G23" s="9" t="s">
        <v>72</v>
      </c>
      <c r="H23" s="9" t="s">
        <v>75</v>
      </c>
      <c r="I23" s="9" t="s">
        <v>76</v>
      </c>
      <c r="J23" s="9" t="s">
        <v>51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1</v>
      </c>
      <c r="C24" s="9" t="s">
        <v>77</v>
      </c>
      <c r="D24" s="9" t="s">
        <v>78</v>
      </c>
      <c r="E24" s="9" t="s">
        <v>79</v>
      </c>
      <c r="F24" s="9" t="s">
        <v>77</v>
      </c>
      <c r="G24" s="9" t="s">
        <v>80</v>
      </c>
      <c r="H24" s="9" t="s">
        <v>81</v>
      </c>
      <c r="I24" s="9" t="s">
        <v>82</v>
      </c>
      <c r="J24" s="9" t="s">
        <v>51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3</v>
      </c>
      <c r="C25" s="9" t="s">
        <v>83</v>
      </c>
      <c r="D25" s="9" t="s">
        <v>84</v>
      </c>
      <c r="E25" s="9" t="s">
        <v>85</v>
      </c>
      <c r="F25" s="9" t="s">
        <v>83</v>
      </c>
      <c r="G25" s="9" t="s">
        <v>86</v>
      </c>
      <c r="H25" s="9" t="s">
        <v>87</v>
      </c>
      <c r="I25" s="9" t="s">
        <v>88</v>
      </c>
      <c r="J25" s="9" t="s">
        <v>51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2</v>
      </c>
      <c r="C26" s="9" t="s">
        <v>89</v>
      </c>
      <c r="D26" s="9" t="s">
        <v>90</v>
      </c>
      <c r="E26" s="9" t="s">
        <v>79</v>
      </c>
      <c r="F26" s="9" t="s">
        <v>89</v>
      </c>
      <c r="G26" s="9" t="s">
        <v>91</v>
      </c>
      <c r="H26" s="9" t="s">
        <v>92</v>
      </c>
      <c r="I26" s="9" t="s">
        <v>93</v>
      </c>
      <c r="J26" s="9" t="s">
        <v>51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1</v>
      </c>
      <c r="C27" s="9" t="s">
        <v>94</v>
      </c>
      <c r="D27" s="9" t="s">
        <v>95</v>
      </c>
      <c r="E27" s="9" t="s">
        <v>79</v>
      </c>
      <c r="F27" s="9" t="s">
        <v>96</v>
      </c>
      <c r="G27" s="9" t="s">
        <v>0</v>
      </c>
      <c r="H27" s="9" t="s">
        <v>0</v>
      </c>
      <c r="I27" s="9" t="s">
        <v>0</v>
      </c>
      <c r="J27" s="9" t="s">
        <v>0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6</v>
      </c>
      <c r="C28" s="9" t="s">
        <v>97</v>
      </c>
      <c r="D28" s="9" t="s">
        <v>98</v>
      </c>
      <c r="E28" s="9" t="s">
        <v>79</v>
      </c>
      <c r="F28" s="9" t="s">
        <v>97</v>
      </c>
      <c r="G28" s="9" t="s">
        <v>0</v>
      </c>
      <c r="H28" s="9" t="s">
        <v>0</v>
      </c>
      <c r="I28" s="9" t="s">
        <v>0</v>
      </c>
      <c r="J28" s="9" t="s">
        <v>0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3</v>
      </c>
      <c r="C29" s="9" t="s">
        <v>99</v>
      </c>
      <c r="D29" s="9" t="s">
        <v>100</v>
      </c>
      <c r="E29" s="9" t="s">
        <v>79</v>
      </c>
      <c r="F29" s="9" t="s">
        <v>99</v>
      </c>
      <c r="G29" s="9" t="s">
        <v>0</v>
      </c>
      <c r="H29" s="9" t="s">
        <v>0</v>
      </c>
      <c r="I29" s="9" t="s">
        <v>0</v>
      </c>
      <c r="J29" s="9" t="s">
        <v>0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101</v>
      </c>
      <c r="D30" s="9" t="s">
        <v>102</v>
      </c>
      <c r="E30" s="9" t="s">
        <v>79</v>
      </c>
      <c r="F30" s="9" t="s">
        <v>101</v>
      </c>
      <c r="G30" s="9" t="s">
        <v>0</v>
      </c>
      <c r="H30" s="9" t="s">
        <v>0</v>
      </c>
      <c r="I30" s="9" t="s">
        <v>0</v>
      </c>
      <c r="J30" s="9" t="s">
        <v>0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7</v>
      </c>
      <c r="C31" s="9" t="s">
        <v>103</v>
      </c>
      <c r="D31" s="9" t="s">
        <v>104</v>
      </c>
      <c r="E31" s="9" t="s">
        <v>79</v>
      </c>
      <c r="F31" s="9" t="s">
        <v>103</v>
      </c>
      <c r="G31" s="9" t="s">
        <v>0</v>
      </c>
      <c r="H31" s="9" t="s">
        <v>0</v>
      </c>
      <c r="I31" s="9" t="s">
        <v>0</v>
      </c>
      <c r="J31" s="9" t="s">
        <v>0</v>
      </c>
      <c r="K31" s="9" t="s">
        <v>0</v>
      </c>
      <c r="L31" s="10">
        <f>B31*K31</f>
      </c>
    </row>
    <row r="32" spans="1:12" x14ac:dyDescent="0.25">
      <c r="A32" s="8">
        <f>ROW()-6</f>
      </c>
      <c r="B32" s="9">
        <v>1</v>
      </c>
      <c r="C32" s="9" t="s">
        <v>105</v>
      </c>
      <c r="D32" s="9" t="s">
        <v>106</v>
      </c>
      <c r="E32" s="9" t="s">
        <v>79</v>
      </c>
      <c r="F32" s="9" t="s">
        <v>105</v>
      </c>
      <c r="G32" s="9" t="s">
        <v>0</v>
      </c>
      <c r="H32" s="9" t="s">
        <v>0</v>
      </c>
      <c r="I32" s="9" t="s">
        <v>0</v>
      </c>
      <c r="J32" s="9" t="s">
        <v>0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8</v>
      </c>
      <c r="C33" s="9" t="s">
        <v>107</v>
      </c>
      <c r="D33" s="9" t="s">
        <v>108</v>
      </c>
      <c r="E33" s="9" t="s">
        <v>79</v>
      </c>
      <c r="F33" s="9" t="s">
        <v>107</v>
      </c>
      <c r="G33" s="9" t="s">
        <v>0</v>
      </c>
      <c r="H33" s="9" t="s">
        <v>0</v>
      </c>
      <c r="I33" s="9" t="s">
        <v>0</v>
      </c>
      <c r="J33" s="9" t="s">
        <v>0</v>
      </c>
      <c r="K33" s="9" t="s">
        <v>0</v>
      </c>
      <c r="L33" s="10">
        <f>B33*K33</f>
      </c>
    </row>
    <row r="34" spans="1:12" x14ac:dyDescent="0.25">
      <c r="A34" s="8">
        <f>ROW()-6</f>
      </c>
      <c r="B34" s="9">
        <v>6</v>
      </c>
      <c r="C34" s="9" t="s">
        <v>109</v>
      </c>
      <c r="D34" s="9" t="s">
        <v>110</v>
      </c>
      <c r="E34" s="9" t="s">
        <v>79</v>
      </c>
      <c r="F34" s="9" t="s">
        <v>109</v>
      </c>
      <c r="G34" s="9" t="s">
        <v>0</v>
      </c>
      <c r="H34" s="9" t="s">
        <v>0</v>
      </c>
      <c r="I34" s="9" t="s">
        <v>0</v>
      </c>
      <c r="J34" s="9" t="s">
        <v>0</v>
      </c>
      <c r="K34" s="9" t="s">
        <v>0</v>
      </c>
      <c r="L34" s="10">
        <f>B34*K34</f>
      </c>
    </row>
    <row r="35" spans="1:12" x14ac:dyDescent="0.25">
      <c r="A35" s="8">
        <f>ROW()-6</f>
      </c>
      <c r="B35" s="9">
        <v>6</v>
      </c>
      <c r="C35" s="9" t="s">
        <v>111</v>
      </c>
      <c r="D35" s="9" t="s">
        <v>112</v>
      </c>
      <c r="E35" s="9" t="s">
        <v>79</v>
      </c>
      <c r="F35" s="9" t="s">
        <v>111</v>
      </c>
      <c r="G35" s="9" t="s">
        <v>0</v>
      </c>
      <c r="H35" s="9" t="s">
        <v>0</v>
      </c>
      <c r="I35" s="9" t="s">
        <v>0</v>
      </c>
      <c r="J35" s="9" t="s">
        <v>0</v>
      </c>
      <c r="K35" s="9" t="s">
        <v>0</v>
      </c>
      <c r="L35" s="10">
        <f>B35*K35</f>
      </c>
    </row>
    <row r="36" spans="1:12" x14ac:dyDescent="0.25">
      <c r="A36" s="8">
        <f>ROW()-6</f>
      </c>
      <c r="B36" s="9">
        <v>3</v>
      </c>
      <c r="C36" s="9" t="s">
        <v>113</v>
      </c>
      <c r="D36" s="9" t="s">
        <v>114</v>
      </c>
      <c r="E36" s="9" t="s">
        <v>79</v>
      </c>
      <c r="F36" s="9" t="s">
        <v>113</v>
      </c>
      <c r="G36" s="9" t="s">
        <v>0</v>
      </c>
      <c r="H36" s="9" t="s">
        <v>0</v>
      </c>
      <c r="I36" s="9" t="s">
        <v>0</v>
      </c>
      <c r="J36" s="9" t="s">
        <v>0</v>
      </c>
      <c r="K36" s="9" t="s">
        <v>0</v>
      </c>
      <c r="L36" s="10">
        <f>B36*K36</f>
      </c>
    </row>
    <row r="37" spans="1:12" x14ac:dyDescent="0.25">
      <c r="A37" s="8">
        <f>ROW()-6</f>
      </c>
      <c r="B37" s="9">
        <v>1</v>
      </c>
      <c r="C37" s="9" t="s">
        <v>115</v>
      </c>
      <c r="D37" s="9" t="s">
        <v>116</v>
      </c>
      <c r="E37" s="9" t="s">
        <v>117</v>
      </c>
      <c r="F37" s="9" t="s">
        <v>0</v>
      </c>
      <c r="G37" s="9" t="s">
        <v>115</v>
      </c>
      <c r="H37" s="9" t="s">
        <v>118</v>
      </c>
      <c r="I37" s="9" t="s">
        <v>119</v>
      </c>
      <c r="J37" s="9" t="s">
        <v>51</v>
      </c>
      <c r="K37" s="9" t="s">
        <v>0</v>
      </c>
      <c r="L37" s="10">
        <f>B37*K37</f>
      </c>
    </row>
    <row r="38" spans="1:12" x14ac:dyDescent="0.25">
      <c r="A38" s="8">
        <f>ROW()-6</f>
      </c>
      <c r="B38" s="9">
        <v>1</v>
      </c>
      <c r="C38" s="9" t="s">
        <v>120</v>
      </c>
      <c r="D38" s="9" t="s">
        <v>121</v>
      </c>
      <c r="E38" s="9" t="s">
        <v>122</v>
      </c>
      <c r="F38" s="9" t="s">
        <v>0</v>
      </c>
      <c r="G38" s="9" t="s">
        <v>120</v>
      </c>
      <c r="H38" s="9" t="s">
        <v>123</v>
      </c>
      <c r="I38" s="9" t="s">
        <v>124</v>
      </c>
      <c r="J38" s="9" t="s">
        <v>51</v>
      </c>
      <c r="K38" s="9" t="s">
        <v>0</v>
      </c>
      <c r="L38" s="10">
        <f>B38*K38</f>
      </c>
    </row>
    <row r="39" spans="1:12" x14ac:dyDescent="0.25">
      <c r="A39" s="8">
        <f>ROW()-6</f>
      </c>
      <c r="B39" s="9">
        <v>1</v>
      </c>
      <c r="C39" s="9" t="s">
        <v>125</v>
      </c>
      <c r="D39" s="9" t="s">
        <v>126</v>
      </c>
      <c r="E39" s="9" t="s">
        <v>127</v>
      </c>
      <c r="F39" s="9" t="s">
        <v>0</v>
      </c>
      <c r="G39" s="9" t="s">
        <v>125</v>
      </c>
      <c r="H39" s="9" t="s">
        <v>128</v>
      </c>
      <c r="I39" s="9" t="s">
        <v>129</v>
      </c>
      <c r="J39" s="9" t="s">
        <v>51</v>
      </c>
      <c r="K39" s="9" t="s">
        <v>0</v>
      </c>
      <c r="L39" s="10">
        <f>B39*K39</f>
      </c>
    </row>
    <row r="40" spans="1:12" x14ac:dyDescent="0.25">
      <c r="A40" s="8">
        <f>ROW()-6</f>
      </c>
      <c r="B40" s="9">
        <v>1</v>
      </c>
      <c r="C40" s="9" t="s">
        <v>130</v>
      </c>
      <c r="D40" s="9" t="s">
        <v>131</v>
      </c>
      <c r="E40" s="9" t="s">
        <v>132</v>
      </c>
      <c r="F40" s="9" t="s">
        <v>0</v>
      </c>
      <c r="G40" s="9" t="s">
        <v>130</v>
      </c>
      <c r="H40" s="9" t="s">
        <v>128</v>
      </c>
      <c r="I40" s="9" t="s">
        <v>133</v>
      </c>
      <c r="J40" s="9" t="s">
        <v>51</v>
      </c>
      <c r="K40" s="9" t="s">
        <v>0</v>
      </c>
      <c r="L40" s="10">
        <f>B40*K40</f>
      </c>
    </row>
    <row r="41" spans="1:12" x14ac:dyDescent="0.25">
      <c r="A41" s="8">
        <f>ROW()-6</f>
      </c>
      <c r="B41" s="9">
        <v>1</v>
      </c>
      <c r="C41" s="9" t="s">
        <v>134</v>
      </c>
      <c r="D41" s="9" t="s">
        <v>135</v>
      </c>
      <c r="E41" s="9" t="s">
        <v>136</v>
      </c>
      <c r="F41" s="9" t="s">
        <v>0</v>
      </c>
      <c r="G41" s="9" t="s">
        <v>134</v>
      </c>
      <c r="H41" s="9" t="s">
        <v>137</v>
      </c>
      <c r="I41" s="9" t="s">
        <v>138</v>
      </c>
      <c r="J41" s="9" t="s">
        <v>51</v>
      </c>
      <c r="K41" s="9" t="s">
        <v>0</v>
      </c>
      <c r="L41" s="10">
        <f>B41*K41</f>
      </c>
    </row>
    <row r="42" spans="1:12" x14ac:dyDescent="0.25">
      <c r="A42" s="8">
        <f>ROW()-6</f>
      </c>
      <c r="B42" s="9">
        <v>1</v>
      </c>
      <c r="C42" s="9" t="s">
        <v>139</v>
      </c>
      <c r="D42" s="9" t="s">
        <v>140</v>
      </c>
      <c r="E42" s="9" t="s">
        <v>141</v>
      </c>
      <c r="F42" s="9" t="s">
        <v>139</v>
      </c>
      <c r="G42" s="9" t="s">
        <v>142</v>
      </c>
      <c r="H42" s="9" t="s">
        <v>143</v>
      </c>
      <c r="I42" s="9" t="s">
        <v>144</v>
      </c>
      <c r="J42" s="9" t="s">
        <v>51</v>
      </c>
      <c r="K42" s="9" t="s">
        <v>0</v>
      </c>
      <c r="L42" s="10">
        <f>B42*K42</f>
      </c>
    </row>
    <row r="43" spans="1:12" x14ac:dyDescent="0.25">
      <c r="A43" s="8">
        <f>ROW()-6</f>
      </c>
      <c r="B43" s="11">
        <f>SUM(L7:L42)</f>
      </c>
      <c r="C43" s="11"/>
      <c r="D43" s="11"/>
      <c r="E43" s="11"/>
      <c r="F43" s="11"/>
      <c r="G43" s="11"/>
      <c r="H43" s="11"/>
      <c r="I43" s="11"/>
      <c r="J43" s="11"/>
      <c r="K43" s="11"/>
      <c r="L43" s="11"/>
    </row>
  </sheetData>
  <mergeCells count="4">
    <mergeCell ref="A1:D5"/>
    <mergeCell ref="E1:E2"/>
    <mergeCell ref="F1:F2"/>
    <mergeCell ref="B43:L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145</v>
      </c>
      <c r="B1" s="6" t="s">
        <v>4</v>
      </c>
    </row>
    <row r="2" spans="1:2" x14ac:dyDescent="0.25">
      <c r="A2" s="6" t="s">
        <v>146</v>
      </c>
      <c r="B2" s="6" t="s">
        <v>147</v>
      </c>
    </row>
    <row r="3" spans="1:2" x14ac:dyDescent="0.25">
      <c r="A3" s="6" t="s">
        <v>148</v>
      </c>
      <c r="B3" s="6" t="s">
        <v>149</v>
      </c>
    </row>
    <row r="4" spans="1:2" x14ac:dyDescent="0.25">
      <c r="A4" s="6" t="s">
        <v>150</v>
      </c>
      <c r="B4" s="6" t="s">
        <v>6</v>
      </c>
    </row>
    <row r="5" spans="1:2" x14ac:dyDescent="0.25">
      <c r="A5" s="6" t="s">
        <v>151</v>
      </c>
      <c r="B5" s="6" t="s">
        <v>6</v>
      </c>
    </row>
    <row r="6" spans="1:2" x14ac:dyDescent="0.25">
      <c r="A6" s="6" t="s">
        <v>152</v>
      </c>
      <c r="B6" s="6">
        <v>105</v>
      </c>
    </row>
    <row r="7" spans="1:2" x14ac:dyDescent="0.25">
      <c r="A7" s="6" t="s">
        <v>153</v>
      </c>
      <c r="B7" s="6" t="s">
        <v>154</v>
      </c>
    </row>
    <row r="8" spans="1:2" x14ac:dyDescent="0.25">
      <c r="A8" s="6" t="s">
        <v>155</v>
      </c>
      <c r="B8" s="6" t="s">
        <v>156</v>
      </c>
    </row>
    <row r="9" spans="1:2" x14ac:dyDescent="0.25">
      <c r="A9" s="6" t="s">
        <v>157</v>
      </c>
      <c r="B9" s="6" t="s">
        <v>8</v>
      </c>
    </row>
    <row r="10" spans="1:2" x14ac:dyDescent="0.25">
      <c r="A10" s="6" t="s">
        <v>158</v>
      </c>
      <c r="B10" s="6" t="s">
        <v>2</v>
      </c>
    </row>
    <row r="11" spans="1:2" x14ac:dyDescent="0.25">
      <c r="A11" s="6" t="s">
        <v>159</v>
      </c>
      <c r="B11" s="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2026-09-05T12:07:53Z</dcterms:modified>
</cp:coreProperties>
</file>